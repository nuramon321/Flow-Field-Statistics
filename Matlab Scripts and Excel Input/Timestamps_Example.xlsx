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V\Supplementary Data\Undefended Animals\"/>
    </mc:Choice>
  </mc:AlternateContent>
  <xr:revisionPtr revIDLastSave="0" documentId="13_ncr:1_{2D7B4AAC-A619-42BB-9BCA-F812E5BF8642}" xr6:coauthVersionLast="47" xr6:coauthVersionMax="47" xr10:uidLastSave="{00000000-0000-0000-0000-000000000000}"/>
  <bookViews>
    <workbookView xWindow="-103" yWindow="-103" windowWidth="22149" windowHeight="13200" xr2:uid="{0839EA49-78CC-4396-B1A3-31E40328BB8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L14" i="1" l="1"/>
  <c r="N12" i="1"/>
  <c r="L12" i="1"/>
  <c r="J14" i="1"/>
  <c r="J13" i="1"/>
  <c r="J12" i="1"/>
  <c r="H14" i="1"/>
  <c r="H13" i="1"/>
  <c r="H12" i="1"/>
  <c r="F14" i="1"/>
  <c r="F13" i="1"/>
  <c r="F12" i="1"/>
  <c r="D14" i="1"/>
  <c r="D13" i="1"/>
  <c r="D12" i="1"/>
  <c r="D11" i="1"/>
  <c r="F11" i="1"/>
  <c r="H11" i="1"/>
  <c r="J11" i="1"/>
  <c r="N10" i="1"/>
  <c r="L10" i="1"/>
  <c r="J10" i="1"/>
  <c r="H10" i="1"/>
  <c r="F10" i="1"/>
  <c r="D10" i="1"/>
  <c r="L24" i="1"/>
  <c r="N24" i="1"/>
  <c r="H24" i="1"/>
  <c r="J24" i="1"/>
  <c r="I24" i="1" s="1"/>
  <c r="F24" i="1"/>
  <c r="D24" i="1"/>
  <c r="N23" i="1"/>
  <c r="L23" i="1"/>
  <c r="J23" i="1"/>
  <c r="H23" i="1"/>
  <c r="F23" i="1"/>
  <c r="D23" i="1"/>
  <c r="J19" i="1"/>
  <c r="H19" i="1"/>
  <c r="F19" i="1"/>
  <c r="D19" i="1"/>
  <c r="L18" i="1"/>
  <c r="N18" i="1"/>
  <c r="M18" i="1" s="1"/>
  <c r="J18" i="1"/>
  <c r="H18" i="1"/>
  <c r="F18" i="1"/>
  <c r="D18" i="1"/>
  <c r="J15" i="1"/>
  <c r="H15" i="1"/>
  <c r="F15" i="1"/>
  <c r="D15" i="1"/>
  <c r="J9" i="1"/>
  <c r="H9" i="1"/>
  <c r="I9" i="1" s="1"/>
  <c r="F9" i="1"/>
  <c r="N8" i="1"/>
  <c r="D9" i="1"/>
  <c r="E9" i="1" s="1"/>
  <c r="L8" i="1"/>
  <c r="J8" i="1"/>
  <c r="H8" i="1"/>
  <c r="F8" i="1"/>
  <c r="D8" i="1"/>
  <c r="J7" i="1"/>
  <c r="N17" i="1"/>
  <c r="J5" i="1"/>
  <c r="H5" i="1"/>
  <c r="F5" i="1"/>
  <c r="D5" i="1"/>
  <c r="N4" i="1"/>
  <c r="L4" i="1"/>
  <c r="J4" i="1"/>
  <c r="H4" i="1"/>
  <c r="F4" i="1"/>
  <c r="D4" i="1"/>
  <c r="J22" i="1"/>
  <c r="H22" i="1"/>
  <c r="F22" i="1"/>
  <c r="D22" i="1"/>
  <c r="N21" i="1"/>
  <c r="L21" i="1"/>
  <c r="J21" i="1"/>
  <c r="H21" i="1"/>
  <c r="F21" i="1"/>
  <c r="D21" i="1"/>
  <c r="N20" i="1"/>
  <c r="L20" i="1"/>
  <c r="J20" i="1"/>
  <c r="H20" i="1"/>
  <c r="I20" i="1" s="1"/>
  <c r="F20" i="1"/>
  <c r="D20" i="1"/>
  <c r="E20" i="1" s="1"/>
  <c r="L17" i="1"/>
  <c r="J17" i="1"/>
  <c r="H17" i="1"/>
  <c r="F17" i="1"/>
  <c r="D17" i="1"/>
  <c r="N16" i="1"/>
  <c r="L16" i="1"/>
  <c r="J16" i="1"/>
  <c r="H16" i="1"/>
  <c r="F16" i="1"/>
  <c r="D16" i="1"/>
  <c r="E16" i="1" s="1"/>
  <c r="D7" i="1"/>
  <c r="F7" i="1"/>
  <c r="H7" i="1"/>
  <c r="J6" i="1"/>
  <c r="H6" i="1"/>
  <c r="F6" i="1"/>
  <c r="D6" i="1"/>
  <c r="E19" i="1" l="1"/>
  <c r="M24" i="1"/>
  <c r="I17" i="1"/>
  <c r="E23" i="1"/>
  <c r="M23" i="1"/>
  <c r="E18" i="1"/>
  <c r="E24" i="1"/>
  <c r="I23" i="1"/>
  <c r="I8" i="1"/>
  <c r="M8" i="1"/>
  <c r="M10" i="1"/>
  <c r="E4" i="1"/>
  <c r="I19" i="1"/>
  <c r="M12" i="1"/>
  <c r="I18" i="1"/>
  <c r="I15" i="1"/>
  <c r="I13" i="1"/>
  <c r="E13" i="1"/>
  <c r="I7" i="1"/>
  <c r="I14" i="1"/>
  <c r="E8" i="1"/>
  <c r="E15" i="1"/>
  <c r="M14" i="1"/>
  <c r="E6" i="1"/>
  <c r="M16" i="1"/>
  <c r="E14" i="1"/>
  <c r="M4" i="1"/>
  <c r="E10" i="1"/>
  <c r="I21" i="1"/>
  <c r="E7" i="1"/>
  <c r="I10" i="1"/>
  <c r="E5" i="1"/>
  <c r="M17" i="1"/>
  <c r="I6" i="1"/>
  <c r="M20" i="1"/>
  <c r="I11" i="1"/>
  <c r="E12" i="1"/>
  <c r="E11" i="1"/>
  <c r="I12" i="1"/>
  <c r="I22" i="1"/>
  <c r="E22" i="1"/>
  <c r="I16" i="1"/>
  <c r="I5" i="1"/>
  <c r="I4" i="1"/>
  <c r="M21" i="1"/>
  <c r="E21" i="1"/>
  <c r="E17" i="1"/>
</calcChain>
</file>

<file path=xl/sharedStrings.xml><?xml version="1.0" encoding="utf-8"?>
<sst xmlns="http://schemas.openxmlformats.org/spreadsheetml/2006/main" count="40" uniqueCount="32">
  <si>
    <t>Locomotion</t>
  </si>
  <si>
    <t>Downstroke</t>
  </si>
  <si>
    <t>Startframe</t>
  </si>
  <si>
    <t>Duration</t>
  </si>
  <si>
    <t>Endframe</t>
  </si>
  <si>
    <t>Upstroke</t>
  </si>
  <si>
    <t>20220530_15-1</t>
  </si>
  <si>
    <t>20220530_15-2</t>
  </si>
  <si>
    <t>20220531_18-1</t>
  </si>
  <si>
    <t>20220531_18-2</t>
  </si>
  <si>
    <t>20220601_08-1</t>
  </si>
  <si>
    <t>20220601_08-2</t>
  </si>
  <si>
    <t>20220601_08-3</t>
  </si>
  <si>
    <t>Sinking</t>
  </si>
  <si>
    <t>20220530_09-1</t>
  </si>
  <si>
    <t>20220530_09-2</t>
  </si>
  <si>
    <t>20220530_17-1</t>
  </si>
  <si>
    <t>20220530_17-2</t>
  </si>
  <si>
    <t>20220530_17-3</t>
  </si>
  <si>
    <t>Sequence_Name</t>
  </si>
  <si>
    <t>Video_Nr</t>
  </si>
  <si>
    <t>Seq_Nr</t>
  </si>
  <si>
    <t>Row Model Seq</t>
  </si>
  <si>
    <t>20220530_17-4</t>
  </si>
  <si>
    <t>20220530_17-5</t>
  </si>
  <si>
    <t>20220530_15-3</t>
  </si>
  <si>
    <t>20220530_15-4</t>
  </si>
  <si>
    <t>20220531_09-1</t>
  </si>
  <si>
    <t>20220531_18-3</t>
  </si>
  <si>
    <t>20220531_18-4</t>
  </si>
  <si>
    <t>20220602_06-1</t>
  </si>
  <si>
    <t>20220602_06-2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</si>
</sst>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6" xfId="0" applyFill="1" applyBorder="1"/>
    <xf numFmtId="0" fontId="0" fillId="0" borderId="0" xfId="0" applyFill="1"/>
    <xf numFmtId="0" fontId="4" fillId="0" borderId="4" xfId="0" applyFont="1" applyBorder="1"/>
    <xf numFmtId="0" fontId="0" fillId="0" borderId="8" xfId="0" applyFill="1" applyBorder="1"/>
    <xf numFmtId="0" fontId="0" fillId="0" borderId="9" xfId="0" applyBorder="1"/>
    <xf numFmtId="0" fontId="4" fillId="0" borderId="10" xfId="0" applyFont="1" applyBorder="1"/>
    <xf numFmtId="0" fontId="0" fillId="0" borderId="10" xfId="0" applyBorder="1"/>
    <xf numFmtId="0" fontId="0" fillId="0" borderId="8" xfId="0" applyBorder="1"/>
    <xf numFmtId="0" fontId="0" fillId="0" borderId="2" xfId="0" applyFill="1" applyBorder="1"/>
    <xf numFmtId="0" fontId="4" fillId="0" borderId="11" xfId="0" applyFont="1" applyBorder="1"/>
    <xf numFmtId="0" fontId="0" fillId="0" borderId="11" xfId="0" applyBorder="1"/>
    <xf numFmtId="0" fontId="2" fillId="0" borderId="9" xfId="0" applyFont="1" applyBorder="1"/>
    <xf numFmtId="0" fontId="2" fillId="0" borderId="8" xfId="0" applyFont="1" applyBorder="1"/>
    <xf numFmtId="0" fontId="0" fillId="0" borderId="0" xfId="0" applyBorder="1"/>
    <xf numFmtId="0" fontId="0" fillId="0" borderId="1" xfId="0" applyFill="1" applyBorder="1"/>
    <xf numFmtId="0" fontId="0" fillId="0" borderId="3" xfId="0" applyFill="1" applyBorder="1"/>
    <xf numFmtId="0" fontId="4" fillId="0" borderId="7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A41B-C040-4B2A-A604-C30204E656D1}">
  <dimension ref="A1:O30"/>
  <sheetViews>
    <sheetView tabSelected="1" workbookViewId="0">
      <selection activeCell="B27" sqref="B27"/>
    </sheetView>
  </sheetViews>
  <sheetFormatPr baseColWidth="10" defaultRowHeight="14.6" x14ac:dyDescent="0.4"/>
  <cols>
    <col min="1" max="1" width="15.53515625" bestFit="1" customWidth="1"/>
    <col min="2" max="2" width="9" bestFit="1" customWidth="1"/>
    <col min="3" max="3" width="7.07421875" bestFit="1" customWidth="1"/>
    <col min="5" max="5" width="13.53515625" bestFit="1" customWidth="1"/>
    <col min="7" max="7" width="14.84375" bestFit="1" customWidth="1"/>
    <col min="9" max="9" width="13.53515625" bestFit="1" customWidth="1"/>
    <col min="11" max="11" width="14.84375" bestFit="1" customWidth="1"/>
    <col min="15" max="15" width="14.84375" bestFit="1" customWidth="1"/>
  </cols>
  <sheetData>
    <row r="1" spans="1:15" x14ac:dyDescent="0.4">
      <c r="D1" s="10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4">
      <c r="D2" s="10" t="s">
        <v>1</v>
      </c>
      <c r="E2" s="10"/>
      <c r="F2" s="10"/>
      <c r="G2" s="10"/>
      <c r="H2" s="10" t="s">
        <v>5</v>
      </c>
      <c r="I2" s="10"/>
      <c r="J2" s="10"/>
      <c r="K2" s="10"/>
      <c r="L2" s="10" t="s">
        <v>13</v>
      </c>
      <c r="M2" s="10"/>
      <c r="N2" s="10"/>
      <c r="O2" s="10"/>
    </row>
    <row r="3" spans="1:15" x14ac:dyDescent="0.4">
      <c r="A3" s="7" t="s">
        <v>19</v>
      </c>
      <c r="B3" s="7" t="s">
        <v>20</v>
      </c>
      <c r="C3" s="6" t="s">
        <v>21</v>
      </c>
      <c r="D3" s="2" t="s">
        <v>2</v>
      </c>
      <c r="E3" s="1" t="s">
        <v>3</v>
      </c>
      <c r="F3" s="7" t="s">
        <v>4</v>
      </c>
      <c r="G3" s="7" t="s">
        <v>22</v>
      </c>
      <c r="H3" s="4" t="s">
        <v>2</v>
      </c>
      <c r="I3" s="7" t="s">
        <v>3</v>
      </c>
      <c r="J3" s="7" t="s">
        <v>4</v>
      </c>
      <c r="K3" s="6" t="s">
        <v>22</v>
      </c>
      <c r="L3" s="7" t="s">
        <v>2</v>
      </c>
      <c r="M3" s="7" t="s">
        <v>3</v>
      </c>
      <c r="N3" s="7" t="s">
        <v>4</v>
      </c>
      <c r="O3" s="6" t="s">
        <v>22</v>
      </c>
    </row>
    <row r="4" spans="1:15" x14ac:dyDescent="0.4">
      <c r="A4" s="14" t="s">
        <v>14</v>
      </c>
      <c r="B4" s="15">
        <v>1</v>
      </c>
      <c r="C4" s="16">
        <v>1</v>
      </c>
      <c r="D4" s="15">
        <f>118-117</f>
        <v>1</v>
      </c>
      <c r="E4" s="15">
        <f t="shared" ref="E4:E5" si="0">F4-D4+1</f>
        <v>34</v>
      </c>
      <c r="F4" s="15">
        <f>151-117</f>
        <v>34</v>
      </c>
      <c r="G4" s="17">
        <v>3</v>
      </c>
      <c r="H4" s="18">
        <f>152-117</f>
        <v>35</v>
      </c>
      <c r="I4" s="15">
        <f t="shared" ref="I4:I5" si="1">J4-H4+1</f>
        <v>37</v>
      </c>
      <c r="J4" s="15">
        <f>188-117</f>
        <v>71</v>
      </c>
      <c r="K4" s="17">
        <v>3</v>
      </c>
      <c r="L4" s="15">
        <f>189-117</f>
        <v>72</v>
      </c>
      <c r="M4" s="15">
        <f>N4-L4+1</f>
        <v>20</v>
      </c>
      <c r="N4" s="15">
        <f>208-117</f>
        <v>91</v>
      </c>
      <c r="O4" s="17">
        <v>13</v>
      </c>
    </row>
    <row r="5" spans="1:15" x14ac:dyDescent="0.4">
      <c r="A5" s="19" t="s">
        <v>15</v>
      </c>
      <c r="B5" s="1">
        <v>1</v>
      </c>
      <c r="C5" s="20">
        <v>2</v>
      </c>
      <c r="D5" s="1">
        <f>209-117</f>
        <v>92</v>
      </c>
      <c r="E5" s="1">
        <f t="shared" si="0"/>
        <v>36</v>
      </c>
      <c r="F5" s="1">
        <f>244-117</f>
        <v>127</v>
      </c>
      <c r="G5" s="1"/>
      <c r="H5" s="2">
        <f>245-117</f>
        <v>128</v>
      </c>
      <c r="I5" s="1">
        <f t="shared" si="1"/>
        <v>34</v>
      </c>
      <c r="J5" s="1">
        <f>278-117</f>
        <v>161</v>
      </c>
      <c r="K5" s="21"/>
      <c r="L5" s="1"/>
      <c r="M5" s="1"/>
      <c r="N5" s="1"/>
      <c r="O5" s="21"/>
    </row>
    <row r="6" spans="1:15" x14ac:dyDescent="0.4">
      <c r="A6" s="14" t="s">
        <v>6</v>
      </c>
      <c r="B6" s="15">
        <v>2</v>
      </c>
      <c r="C6" s="16">
        <v>1</v>
      </c>
      <c r="D6" s="22">
        <f>2-1</f>
        <v>1</v>
      </c>
      <c r="E6" s="22">
        <f>F6-D6+1</f>
        <v>33</v>
      </c>
      <c r="F6" s="22">
        <f>34-1</f>
        <v>33</v>
      </c>
      <c r="G6" s="15"/>
      <c r="H6" s="23">
        <f>35-1</f>
        <v>34</v>
      </c>
      <c r="I6" s="22">
        <f>J6-H6+1</f>
        <v>37</v>
      </c>
      <c r="J6" s="22">
        <f>71-1</f>
        <v>70</v>
      </c>
      <c r="K6" s="17"/>
      <c r="L6" s="15"/>
      <c r="M6" s="15"/>
      <c r="N6" s="15"/>
      <c r="O6" s="17"/>
    </row>
    <row r="7" spans="1:15" x14ac:dyDescent="0.4">
      <c r="A7" s="11" t="s">
        <v>7</v>
      </c>
      <c r="B7" s="24">
        <v>2</v>
      </c>
      <c r="C7" s="13">
        <v>2</v>
      </c>
      <c r="D7" s="24">
        <f>77-1</f>
        <v>76</v>
      </c>
      <c r="E7" s="24">
        <f t="shared" ref="E7:E9" si="2">F7-D7+1</f>
        <v>37</v>
      </c>
      <c r="F7" s="24">
        <f>113-1</f>
        <v>112</v>
      </c>
      <c r="G7" s="24"/>
      <c r="H7" s="5">
        <f>114-1</f>
        <v>113</v>
      </c>
      <c r="I7" s="24">
        <f t="shared" ref="I7:I9" si="3">J7-H7+1</f>
        <v>35</v>
      </c>
      <c r="J7" s="24">
        <f>148-1</f>
        <v>147</v>
      </c>
      <c r="K7" s="3"/>
      <c r="L7" s="24"/>
      <c r="M7" s="24"/>
      <c r="N7" s="24"/>
      <c r="O7" s="8"/>
    </row>
    <row r="8" spans="1:15" x14ac:dyDescent="0.4">
      <c r="A8" s="11" t="s">
        <v>25</v>
      </c>
      <c r="B8" s="24">
        <v>2</v>
      </c>
      <c r="C8" s="13">
        <v>3</v>
      </c>
      <c r="D8" s="24">
        <f>267-1</f>
        <v>266</v>
      </c>
      <c r="E8" s="24">
        <f t="shared" si="2"/>
        <v>33</v>
      </c>
      <c r="F8" s="24">
        <f>299-1</f>
        <v>298</v>
      </c>
      <c r="G8" s="3"/>
      <c r="H8" s="24">
        <f>300-1</f>
        <v>299</v>
      </c>
      <c r="I8" s="24">
        <f t="shared" si="3"/>
        <v>42</v>
      </c>
      <c r="J8" s="24">
        <f>341-1</f>
        <v>340</v>
      </c>
      <c r="K8" s="3"/>
      <c r="L8" s="24">
        <f>342-1</f>
        <v>341</v>
      </c>
      <c r="M8" s="24">
        <f>N8-L8+1</f>
        <v>8</v>
      </c>
      <c r="N8" s="24">
        <f>349-1</f>
        <v>348</v>
      </c>
      <c r="O8" s="3"/>
    </row>
    <row r="9" spans="1:15" x14ac:dyDescent="0.4">
      <c r="A9" s="19" t="s">
        <v>26</v>
      </c>
      <c r="B9" s="1">
        <v>2</v>
      </c>
      <c r="C9" s="20">
        <v>4</v>
      </c>
      <c r="D9" s="1">
        <f>350-1</f>
        <v>349</v>
      </c>
      <c r="E9" s="1">
        <f t="shared" si="2"/>
        <v>35</v>
      </c>
      <c r="F9" s="1">
        <f>384-1</f>
        <v>383</v>
      </c>
      <c r="G9" s="21"/>
      <c r="H9" s="1">
        <f>385-1</f>
        <v>384</v>
      </c>
      <c r="I9" s="1">
        <f t="shared" si="3"/>
        <v>40</v>
      </c>
      <c r="J9" s="1">
        <f>424-1</f>
        <v>423</v>
      </c>
      <c r="K9" s="21"/>
      <c r="L9" s="1"/>
      <c r="M9" s="1"/>
      <c r="N9" s="1"/>
      <c r="O9" s="21"/>
    </row>
    <row r="10" spans="1:15" x14ac:dyDescent="0.4">
      <c r="A10" s="14" t="s">
        <v>16</v>
      </c>
      <c r="B10" s="15">
        <v>3</v>
      </c>
      <c r="C10" s="16">
        <v>1</v>
      </c>
      <c r="D10" s="15">
        <f>146-145</f>
        <v>1</v>
      </c>
      <c r="E10" s="15">
        <f t="shared" ref="E10:E12" si="4">F10-D10+1</f>
        <v>38</v>
      </c>
      <c r="F10" s="15">
        <f>183-145</f>
        <v>38</v>
      </c>
      <c r="G10" s="17"/>
      <c r="H10" s="15">
        <f>184-145</f>
        <v>39</v>
      </c>
      <c r="I10" s="15">
        <f t="shared" ref="I10:I12" si="5">J10-H10+1</f>
        <v>41</v>
      </c>
      <c r="J10" s="15">
        <f>224-145</f>
        <v>79</v>
      </c>
      <c r="K10" s="17"/>
      <c r="L10" s="15">
        <f>225-145</f>
        <v>80</v>
      </c>
      <c r="M10" s="15">
        <f>N10-L10+1</f>
        <v>41</v>
      </c>
      <c r="N10" s="15">
        <f>265-145</f>
        <v>120</v>
      </c>
      <c r="O10" s="17"/>
    </row>
    <row r="11" spans="1:15" x14ac:dyDescent="0.4">
      <c r="A11" s="11" t="s">
        <v>17</v>
      </c>
      <c r="B11" s="24">
        <v>3</v>
      </c>
      <c r="C11" s="13">
        <v>2</v>
      </c>
      <c r="D11" s="24">
        <f>266-145</f>
        <v>121</v>
      </c>
      <c r="E11" s="24">
        <f t="shared" si="4"/>
        <v>24</v>
      </c>
      <c r="F11" s="24">
        <f>289-145</f>
        <v>144</v>
      </c>
      <c r="G11" s="3"/>
      <c r="H11" s="24">
        <f>290-145</f>
        <v>145</v>
      </c>
      <c r="I11" s="24">
        <f t="shared" si="5"/>
        <v>39</v>
      </c>
      <c r="J11" s="24">
        <f>328-145</f>
        <v>183</v>
      </c>
      <c r="K11" s="3"/>
      <c r="L11" s="24"/>
      <c r="M11" s="24"/>
      <c r="N11" s="24"/>
      <c r="O11" s="3"/>
    </row>
    <row r="12" spans="1:15" x14ac:dyDescent="0.4">
      <c r="A12" s="11" t="s">
        <v>18</v>
      </c>
      <c r="B12" s="24">
        <v>3</v>
      </c>
      <c r="C12" s="13">
        <v>3</v>
      </c>
      <c r="D12" s="24">
        <f>332-145</f>
        <v>187</v>
      </c>
      <c r="E12" s="24">
        <f t="shared" si="4"/>
        <v>30</v>
      </c>
      <c r="F12" s="24">
        <f>361-145</f>
        <v>216</v>
      </c>
      <c r="G12" s="3"/>
      <c r="H12" s="24">
        <f>362-145</f>
        <v>217</v>
      </c>
      <c r="I12" s="24">
        <f t="shared" si="5"/>
        <v>34</v>
      </c>
      <c r="J12" s="24">
        <f>395-145</f>
        <v>250</v>
      </c>
      <c r="K12" s="3"/>
      <c r="L12" s="24">
        <f>396-145</f>
        <v>251</v>
      </c>
      <c r="M12" s="24">
        <f>N12-L12+1</f>
        <v>75</v>
      </c>
      <c r="N12" s="24">
        <f>470-145</f>
        <v>325</v>
      </c>
      <c r="O12" s="3"/>
    </row>
    <row r="13" spans="1:15" x14ac:dyDescent="0.4">
      <c r="A13" s="11" t="s">
        <v>23</v>
      </c>
      <c r="B13" s="24">
        <v>3</v>
      </c>
      <c r="C13" s="13">
        <v>4</v>
      </c>
      <c r="D13" s="24">
        <f>471-145</f>
        <v>326</v>
      </c>
      <c r="E13" s="24">
        <f t="shared" ref="E13:E14" si="6">F13-D13+1</f>
        <v>27</v>
      </c>
      <c r="F13" s="24">
        <f>497-145</f>
        <v>352</v>
      </c>
      <c r="G13" s="3"/>
      <c r="H13" s="24">
        <f>498-145</f>
        <v>353</v>
      </c>
      <c r="I13" s="24">
        <f>J13-H13+1</f>
        <v>37</v>
      </c>
      <c r="J13" s="24">
        <f>534-145</f>
        <v>389</v>
      </c>
      <c r="K13" s="3"/>
      <c r="L13" s="24"/>
      <c r="M13" s="24"/>
      <c r="N13" s="24"/>
      <c r="O13" s="3"/>
    </row>
    <row r="14" spans="1:15" x14ac:dyDescent="0.4">
      <c r="A14" s="19" t="s">
        <v>24</v>
      </c>
      <c r="B14" s="1">
        <v>3</v>
      </c>
      <c r="C14" s="20">
        <v>5</v>
      </c>
      <c r="D14" s="1">
        <f>535-145</f>
        <v>390</v>
      </c>
      <c r="E14" s="1">
        <f t="shared" si="6"/>
        <v>30</v>
      </c>
      <c r="F14" s="1">
        <f>564-145</f>
        <v>419</v>
      </c>
      <c r="G14" s="21"/>
      <c r="H14" s="1">
        <f>565-145</f>
        <v>420</v>
      </c>
      <c r="I14" s="1">
        <f>J14-H14+1</f>
        <v>38</v>
      </c>
      <c r="J14" s="1">
        <f>602-145</f>
        <v>457</v>
      </c>
      <c r="K14" s="21"/>
      <c r="L14" s="1">
        <f>603-145</f>
        <v>458</v>
      </c>
      <c r="M14" s="25">
        <f>N14-L14+1</f>
        <v>69</v>
      </c>
      <c r="N14" s="1">
        <f>671-145</f>
        <v>526</v>
      </c>
      <c r="O14" s="21"/>
    </row>
    <row r="15" spans="1:15" x14ac:dyDescent="0.4">
      <c r="A15" s="26" t="s">
        <v>27</v>
      </c>
      <c r="B15" s="7">
        <v>4</v>
      </c>
      <c r="C15" s="27">
        <v>1</v>
      </c>
      <c r="D15" s="7">
        <f>197-196</f>
        <v>1</v>
      </c>
      <c r="E15" s="7">
        <f t="shared" ref="E15:E24" si="7">F15-D15+1</f>
        <v>27</v>
      </c>
      <c r="F15" s="7">
        <f>223-196</f>
        <v>27</v>
      </c>
      <c r="G15" s="6"/>
      <c r="H15" s="7">
        <f>224-196</f>
        <v>28</v>
      </c>
      <c r="I15" s="7">
        <f t="shared" ref="I15:I22" si="8">J15-H15+1</f>
        <v>33</v>
      </c>
      <c r="J15" s="7">
        <f>256-196</f>
        <v>60</v>
      </c>
      <c r="K15" s="6"/>
      <c r="L15" s="7"/>
      <c r="M15" s="7"/>
      <c r="N15" s="7"/>
      <c r="O15" s="6"/>
    </row>
    <row r="16" spans="1:15" x14ac:dyDescent="0.4">
      <c r="A16" s="14" t="s">
        <v>8</v>
      </c>
      <c r="B16" s="15">
        <v>5</v>
      </c>
      <c r="C16" s="16">
        <v>1</v>
      </c>
      <c r="D16" s="15">
        <f>150-149</f>
        <v>1</v>
      </c>
      <c r="E16" s="15">
        <f t="shared" si="7"/>
        <v>24</v>
      </c>
      <c r="F16" s="15">
        <f>173-149</f>
        <v>24</v>
      </c>
      <c r="G16" s="15"/>
      <c r="H16" s="18">
        <f>174-149</f>
        <v>25</v>
      </c>
      <c r="I16" s="15">
        <f t="shared" si="8"/>
        <v>32</v>
      </c>
      <c r="J16" s="15">
        <f>205-149</f>
        <v>56</v>
      </c>
      <c r="K16" s="17"/>
      <c r="L16" s="22">
        <f>206-149</f>
        <v>57</v>
      </c>
      <c r="M16" s="22">
        <f>N16-L16+1</f>
        <v>26</v>
      </c>
      <c r="N16" s="22">
        <f>231-149</f>
        <v>82</v>
      </c>
      <c r="O16" s="17"/>
    </row>
    <row r="17" spans="1:15" x14ac:dyDescent="0.4">
      <c r="A17" s="11" t="s">
        <v>9</v>
      </c>
      <c r="B17" s="24">
        <v>5</v>
      </c>
      <c r="C17" s="13">
        <v>2</v>
      </c>
      <c r="D17" s="24">
        <f>232-149</f>
        <v>83</v>
      </c>
      <c r="E17" s="24">
        <f t="shared" si="7"/>
        <v>21</v>
      </c>
      <c r="F17" s="24">
        <f>252-149</f>
        <v>103</v>
      </c>
      <c r="G17" s="24"/>
      <c r="H17" s="5">
        <f>253-149</f>
        <v>104</v>
      </c>
      <c r="I17" s="24">
        <f t="shared" si="8"/>
        <v>32</v>
      </c>
      <c r="J17" s="24">
        <f>284-149</f>
        <v>135</v>
      </c>
      <c r="K17" s="3"/>
      <c r="L17" s="24">
        <f>285-149</f>
        <v>136</v>
      </c>
      <c r="M17" s="24">
        <f>N17-L17+1</f>
        <v>44</v>
      </c>
      <c r="N17" s="24">
        <f>328-149</f>
        <v>179</v>
      </c>
      <c r="O17" s="3"/>
    </row>
    <row r="18" spans="1:15" x14ac:dyDescent="0.4">
      <c r="A18" s="11" t="s">
        <v>28</v>
      </c>
      <c r="B18" s="24">
        <v>5</v>
      </c>
      <c r="C18" s="13">
        <v>3</v>
      </c>
      <c r="D18" s="24">
        <f>329-149</f>
        <v>180</v>
      </c>
      <c r="E18" s="24">
        <f t="shared" si="7"/>
        <v>23</v>
      </c>
      <c r="F18" s="24">
        <f>351-149</f>
        <v>202</v>
      </c>
      <c r="G18" s="3"/>
      <c r="H18" s="24">
        <f>352-149</f>
        <v>203</v>
      </c>
      <c r="I18" s="24">
        <f t="shared" si="8"/>
        <v>34</v>
      </c>
      <c r="J18" s="24">
        <f>385-149</f>
        <v>236</v>
      </c>
      <c r="K18" s="3"/>
      <c r="L18" s="24">
        <f>386-149</f>
        <v>237</v>
      </c>
      <c r="M18" s="24">
        <f>N18-L18+1</f>
        <v>83</v>
      </c>
      <c r="N18" s="24">
        <f>468-149</f>
        <v>319</v>
      </c>
      <c r="O18" s="3"/>
    </row>
    <row r="19" spans="1:15" x14ac:dyDescent="0.4">
      <c r="A19" s="25" t="s">
        <v>29</v>
      </c>
      <c r="B19" s="1">
        <v>5</v>
      </c>
      <c r="C19" s="20">
        <v>4</v>
      </c>
      <c r="D19" s="1">
        <f>469-149</f>
        <v>320</v>
      </c>
      <c r="E19" s="1">
        <f t="shared" si="7"/>
        <v>24</v>
      </c>
      <c r="F19" s="1">
        <f>492-149</f>
        <v>343</v>
      </c>
      <c r="G19" s="21"/>
      <c r="H19" s="1">
        <f>493-149</f>
        <v>344</v>
      </c>
      <c r="I19" s="1">
        <f t="shared" si="8"/>
        <v>28</v>
      </c>
      <c r="J19" s="1">
        <f>520-149</f>
        <v>371</v>
      </c>
      <c r="K19" s="21"/>
      <c r="L19" s="1"/>
      <c r="M19" s="1"/>
      <c r="N19" s="1"/>
      <c r="O19" s="21"/>
    </row>
    <row r="20" spans="1:15" x14ac:dyDescent="0.4">
      <c r="A20" s="14" t="s">
        <v>10</v>
      </c>
      <c r="B20" s="15">
        <v>6</v>
      </c>
      <c r="C20" s="16">
        <v>1</v>
      </c>
      <c r="D20" s="15">
        <f>67-66</f>
        <v>1</v>
      </c>
      <c r="E20" s="15">
        <f t="shared" si="7"/>
        <v>27</v>
      </c>
      <c r="F20" s="15">
        <f>93-66</f>
        <v>27</v>
      </c>
      <c r="G20" s="15"/>
      <c r="H20" s="18">
        <f>94-66</f>
        <v>28</v>
      </c>
      <c r="I20" s="15">
        <f t="shared" si="8"/>
        <v>35</v>
      </c>
      <c r="J20" s="15">
        <f>128-66</f>
        <v>62</v>
      </c>
      <c r="K20" s="17"/>
      <c r="L20" s="15">
        <f>129-66</f>
        <v>63</v>
      </c>
      <c r="M20" s="15">
        <f>N20-L20+1</f>
        <v>24</v>
      </c>
      <c r="N20" s="15">
        <f>152-66</f>
        <v>86</v>
      </c>
      <c r="O20" s="17"/>
    </row>
    <row r="21" spans="1:15" x14ac:dyDescent="0.4">
      <c r="A21" s="11" t="s">
        <v>11</v>
      </c>
      <c r="B21" s="24">
        <v>6</v>
      </c>
      <c r="C21" s="13">
        <v>2</v>
      </c>
      <c r="D21" s="24">
        <f>153-66</f>
        <v>87</v>
      </c>
      <c r="E21" s="24">
        <f t="shared" si="7"/>
        <v>26</v>
      </c>
      <c r="F21" s="24">
        <f>178-66</f>
        <v>112</v>
      </c>
      <c r="G21" s="24"/>
      <c r="H21" s="5">
        <f>179-66</f>
        <v>113</v>
      </c>
      <c r="I21" s="24">
        <f t="shared" si="8"/>
        <v>35</v>
      </c>
      <c r="J21" s="24">
        <f>213-66</f>
        <v>147</v>
      </c>
      <c r="K21" s="3"/>
      <c r="L21" s="24">
        <f>214-66</f>
        <v>148</v>
      </c>
      <c r="M21" s="24">
        <f>N21-L21+1</f>
        <v>9</v>
      </c>
      <c r="N21" s="24">
        <f>222-66</f>
        <v>156</v>
      </c>
      <c r="O21" s="3"/>
    </row>
    <row r="22" spans="1:15" x14ac:dyDescent="0.4">
      <c r="A22" s="19" t="s">
        <v>12</v>
      </c>
      <c r="B22" s="1">
        <v>6</v>
      </c>
      <c r="C22" s="20">
        <v>3</v>
      </c>
      <c r="D22" s="1">
        <f>223-66</f>
        <v>157</v>
      </c>
      <c r="E22" s="1">
        <f t="shared" si="7"/>
        <v>29</v>
      </c>
      <c r="F22" s="1">
        <f>251-66</f>
        <v>185</v>
      </c>
      <c r="G22" s="1"/>
      <c r="H22" s="2">
        <f>252-66</f>
        <v>186</v>
      </c>
      <c r="I22" s="1">
        <f t="shared" si="8"/>
        <v>28</v>
      </c>
      <c r="J22" s="1">
        <f>279-66</f>
        <v>213</v>
      </c>
      <c r="K22" s="21"/>
      <c r="L22" s="1"/>
      <c r="M22" s="1"/>
      <c r="N22" s="1"/>
      <c r="O22" s="21"/>
    </row>
    <row r="23" spans="1:15" x14ac:dyDescent="0.4">
      <c r="A23" s="12" t="s">
        <v>30</v>
      </c>
      <c r="B23">
        <v>7</v>
      </c>
      <c r="C23" s="13">
        <v>1</v>
      </c>
      <c r="D23">
        <f>96-95</f>
        <v>1</v>
      </c>
      <c r="E23">
        <f t="shared" si="7"/>
        <v>29</v>
      </c>
      <c r="F23">
        <f>124-95</f>
        <v>29</v>
      </c>
      <c r="G23" s="3"/>
      <c r="H23">
        <f>125-95</f>
        <v>30</v>
      </c>
      <c r="I23">
        <f>J23-H23+1</f>
        <v>31</v>
      </c>
      <c r="J23">
        <f>155-95</f>
        <v>60</v>
      </c>
      <c r="K23" s="3"/>
      <c r="L23">
        <f>156-95</f>
        <v>61</v>
      </c>
      <c r="M23">
        <f>N23-L23+1</f>
        <v>58</v>
      </c>
      <c r="N23">
        <f>213-95</f>
        <v>118</v>
      </c>
      <c r="O23" s="3"/>
    </row>
    <row r="24" spans="1:15" x14ac:dyDescent="0.4">
      <c r="A24" s="12" t="s">
        <v>31</v>
      </c>
      <c r="B24">
        <v>7</v>
      </c>
      <c r="C24" s="13">
        <v>2</v>
      </c>
      <c r="D24">
        <f>214-95</f>
        <v>119</v>
      </c>
      <c r="E24">
        <f t="shared" si="7"/>
        <v>22</v>
      </c>
      <c r="F24">
        <f>235-95</f>
        <v>140</v>
      </c>
      <c r="G24" s="3"/>
      <c r="H24">
        <f>236-95</f>
        <v>141</v>
      </c>
      <c r="I24">
        <f>J24-H24+1</f>
        <v>34</v>
      </c>
      <c r="J24">
        <f>269-95</f>
        <v>174</v>
      </c>
      <c r="K24" s="3"/>
      <c r="L24">
        <f>270-95</f>
        <v>175</v>
      </c>
      <c r="M24">
        <f>N24-L24+1</f>
        <v>41</v>
      </c>
      <c r="N24">
        <f>310-95</f>
        <v>215</v>
      </c>
      <c r="O24" s="3"/>
    </row>
    <row r="28" spans="1:15" x14ac:dyDescent="0.4">
      <c r="C28" s="9"/>
    </row>
    <row r="29" spans="1:15" x14ac:dyDescent="0.4">
      <c r="C29" s="9"/>
    </row>
    <row r="30" spans="1:15" x14ac:dyDescent="0.4">
      <c r="C30" s="9"/>
    </row>
  </sheetData>
  <mergeCells count="4">
    <mergeCell ref="D2:G2"/>
    <mergeCell ref="H2:K2"/>
    <mergeCell ref="L2:O2"/>
    <mergeCell ref="D1:O1"/>
  </mergeCells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Schulenberg, Eva</dc:creator>
  <cp:lastModifiedBy>Schulenberg, Eva</cp:lastModifiedBy>
  <dcterms:created xsi:type="dcterms:W3CDTF">2024-10-31T09:31:01Z</dcterms:created>
  <dcterms:modified xsi:type="dcterms:W3CDTF">2026-03-23T07:43:32Z</dcterms:modified>
</cp:coreProperties>
</file>